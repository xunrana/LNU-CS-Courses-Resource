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nra\Desktop\24秋课程\0.5 计算机导论实验\实验三 2024 11.30\excel部分实验素材\EX7\思考与实践\"/>
    </mc:Choice>
  </mc:AlternateContent>
  <xr:revisionPtr revIDLastSave="0" documentId="13_ncr:1_{0B8954B4-1A48-4CD1-B3BA-9A2CF769E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期末成绩分析表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E14" i="1"/>
  <c r="F14" i="1"/>
  <c r="D15" i="1"/>
  <c r="D14" i="1"/>
  <c r="E13" i="1"/>
  <c r="F13" i="1"/>
  <c r="E12" i="1"/>
  <c r="F12" i="1"/>
  <c r="D13" i="1"/>
  <c r="D1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<sst xmlns="http://schemas.openxmlformats.org/spreadsheetml/2006/main" count="33" uniqueCount="25">
  <si>
    <t>学号</t>
    <phoneticPr fontId="1" type="noConversion"/>
  </si>
  <si>
    <t>高等数学</t>
    <phoneticPr fontId="1" type="noConversion"/>
  </si>
  <si>
    <t>大学英语</t>
    <phoneticPr fontId="1" type="noConversion"/>
  </si>
  <si>
    <t>大学物理</t>
    <phoneticPr fontId="1" type="noConversion"/>
  </si>
  <si>
    <t>总成绩</t>
    <phoneticPr fontId="1" type="noConversion"/>
  </si>
  <si>
    <t>排名</t>
    <phoneticPr fontId="1" type="noConversion"/>
  </si>
  <si>
    <t>姓名</t>
    <phoneticPr fontId="1" type="noConversion"/>
  </si>
  <si>
    <t>性别</t>
    <phoneticPr fontId="1" type="noConversion"/>
  </si>
  <si>
    <t>评优资格</t>
    <phoneticPr fontId="1" type="noConversion"/>
  </si>
  <si>
    <t>郝乐盟</t>
  </si>
  <si>
    <r>
      <t>李</t>
    </r>
    <r>
      <rPr>
        <sz val="10.5"/>
        <rFont val="宋体"/>
        <family val="3"/>
        <charset val="134"/>
      </rPr>
      <t>燕</t>
    </r>
  </si>
  <si>
    <r>
      <t>赵</t>
    </r>
    <r>
      <rPr>
        <sz val="10.5"/>
        <rFont val="宋体"/>
        <family val="3"/>
        <charset val="134"/>
      </rPr>
      <t>岩</t>
    </r>
  </si>
  <si>
    <t>刘键文</t>
  </si>
  <si>
    <t>汪峡</t>
  </si>
  <si>
    <t>施思</t>
  </si>
  <si>
    <t>刘键</t>
  </si>
  <si>
    <t>李娜娜</t>
  </si>
  <si>
    <t>倪冬声</t>
  </si>
  <si>
    <t>曾晓军</t>
  </si>
  <si>
    <t>最高分</t>
    <phoneticPr fontId="1" type="noConversion"/>
  </si>
  <si>
    <t>次高分</t>
    <phoneticPr fontId="1" type="noConversion"/>
  </si>
  <si>
    <t>最低分</t>
    <phoneticPr fontId="1" type="noConversion"/>
  </si>
  <si>
    <t>次低分</t>
    <phoneticPr fontId="1" type="noConversion"/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</si>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</sst>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期末成绩比较图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期末成绩分析表!$D$1</c:f>
              <c:strCache>
                <c:ptCount val="1"/>
                <c:pt idx="0">
                  <c:v>高等数学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期末成绩分析表!$B$2:$B$4</c:f>
              <c:strCache>
                <c:ptCount val="3"/>
                <c:pt idx="0">
                  <c:v>郝乐盟</c:v>
                </c:pt>
                <c:pt idx="1">
                  <c:v>李娜娜</c:v>
                </c:pt>
                <c:pt idx="2">
                  <c:v>倪冬声</c:v>
                </c:pt>
              </c:strCache>
            </c:strRef>
          </c:cat>
          <c:val>
            <c:numRef>
              <c:f>期末成绩分析表!$D$2:$D$4</c:f>
              <c:numCache>
                <c:formatCode>General</c:formatCode>
                <c:ptCount val="3"/>
                <c:pt idx="0">
                  <c:v>89</c:v>
                </c:pt>
                <c:pt idx="1">
                  <c:v>77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5-487C-BE79-C695EFDC621A}"/>
            </c:ext>
          </c:extLst>
        </c:ser>
        <c:ser>
          <c:idx val="1"/>
          <c:order val="1"/>
          <c:tx>
            <c:strRef>
              <c:f>期末成绩分析表!$E$1</c:f>
              <c:strCache>
                <c:ptCount val="1"/>
                <c:pt idx="0">
                  <c:v>大学英语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期末成绩分析表!$B$2:$B$4</c:f>
              <c:strCache>
                <c:ptCount val="3"/>
                <c:pt idx="0">
                  <c:v>郝乐盟</c:v>
                </c:pt>
                <c:pt idx="1">
                  <c:v>李娜娜</c:v>
                </c:pt>
                <c:pt idx="2">
                  <c:v>倪冬声</c:v>
                </c:pt>
              </c:strCache>
            </c:strRef>
          </c:cat>
          <c:val>
            <c:numRef>
              <c:f>期末成绩分析表!$E$2:$E$4</c:f>
              <c:numCache>
                <c:formatCode>General</c:formatCode>
                <c:ptCount val="3"/>
                <c:pt idx="0">
                  <c:v>74</c:v>
                </c:pt>
                <c:pt idx="1">
                  <c:v>73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5-487C-BE79-C695EFDC621A}"/>
            </c:ext>
          </c:extLst>
        </c:ser>
        <c:ser>
          <c:idx val="2"/>
          <c:order val="2"/>
          <c:tx>
            <c:strRef>
              <c:f>期末成绩分析表!$F$1</c:f>
              <c:strCache>
                <c:ptCount val="1"/>
                <c:pt idx="0">
                  <c:v>大学物理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期末成绩分析表!$B$2:$B$4</c:f>
              <c:strCache>
                <c:ptCount val="3"/>
                <c:pt idx="0">
                  <c:v>郝乐盟</c:v>
                </c:pt>
                <c:pt idx="1">
                  <c:v>李娜娜</c:v>
                </c:pt>
                <c:pt idx="2">
                  <c:v>倪冬声</c:v>
                </c:pt>
              </c:strCache>
            </c:strRef>
          </c:cat>
          <c:val>
            <c:numRef>
              <c:f>期末成绩分析表!$F$2:$F$4</c:f>
              <c:numCache>
                <c:formatCode>General</c:formatCode>
                <c:ptCount val="3"/>
                <c:pt idx="0">
                  <c:v>75</c:v>
                </c:pt>
                <c:pt idx="1">
                  <c:v>73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5-487C-BE79-C695EFDC6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984368"/>
        <c:axId val="1555998768"/>
      </c:barChart>
      <c:catAx>
        <c:axId val="15559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5998768"/>
        <c:crosses val="autoZero"/>
        <c:auto val="1"/>
        <c:lblAlgn val="ctr"/>
        <c:lblOffset val="100"/>
        <c:noMultiLvlLbl val="0"/>
      </c:catAx>
      <c:valAx>
        <c:axId val="15559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59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10681</xdr:colOff>
      <xdr:row>16</xdr:row>
      <xdr:rowOff>13995</xdr:rowOff>
    </xdr:from>
    <xdr:to>
      <xdr:col>5</xdr:col>
      <xdr:colOff>670891</xdr:colOff>
      <xdr:row>23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D3D12A-0BCB-8612-3802-DFFEF053E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45" zoomScaleNormal="145" workbookViewId="0">
      <selection activeCell="H18" sqref="H18"/>
    </sheetView>
  </sheetViews>
  <sheetFormatPr defaultRowHeight="14.25" x14ac:dyDescent="0.15"/>
  <sheetData>
    <row r="1" spans="1:9" x14ac:dyDescent="0.15">
      <c r="A1" t="s">
        <v>0</v>
      </c>
      <c r="B1" s="2" t="s">
        <v>6</v>
      </c>
      <c r="C1" s="2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8</v>
      </c>
    </row>
    <row r="2" spans="1:9" ht="15.75" x14ac:dyDescent="0.25">
      <c r="A2" s="1">
        <v>190301</v>
      </c>
      <c r="B2" s="3" t="s">
        <v>9</v>
      </c>
      <c r="C2" s="3" t="s">
        <v>23</v>
      </c>
      <c r="D2">
        <v>89</v>
      </c>
      <c r="E2">
        <v>74</v>
      </c>
      <c r="F2">
        <v>75</v>
      </c>
      <c r="G2">
        <f>SUM(D2:F2)</f>
        <v>238</v>
      </c>
      <c r="H2">
        <f>_xlfn.RANK.EQ(G2,$G$2:$G$11)</f>
        <v>4</v>
      </c>
      <c r="I2" t="str">
        <f>IF(AND(D2&gt;=80,E2&gt;=80,F2&gt;=80),"有资格","无资格")</f>
        <v>无资格</v>
      </c>
    </row>
    <row r="3" spans="1:9" ht="15.75" x14ac:dyDescent="0.25">
      <c r="A3" s="1">
        <v>190302</v>
      </c>
      <c r="B3" t="s">
        <v>16</v>
      </c>
      <c r="C3" t="s">
        <v>24</v>
      </c>
      <c r="D3">
        <v>77</v>
      </c>
      <c r="E3">
        <v>73</v>
      </c>
      <c r="F3">
        <v>73</v>
      </c>
      <c r="G3">
        <f t="shared" ref="G3:G15" si="0">SUM(D3:F3)</f>
        <v>223</v>
      </c>
      <c r="H3">
        <f t="shared" ref="H3:H11" si="1">_xlfn.RANK.EQ(G3,$G$2:$G$11)</f>
        <v>7</v>
      </c>
      <c r="I3" t="str">
        <f t="shared" ref="I3:I11" si="2">IF(AND(D3&gt;=80,E3&gt;=80,F3&gt;=80),"有资格","无资格")</f>
        <v>无资格</v>
      </c>
    </row>
    <row r="4" spans="1:9" ht="15.75" x14ac:dyDescent="0.25">
      <c r="A4" s="1">
        <v>190303</v>
      </c>
      <c r="B4" t="s">
        <v>17</v>
      </c>
      <c r="C4" t="s">
        <v>23</v>
      </c>
      <c r="D4">
        <v>92</v>
      </c>
      <c r="E4">
        <v>95</v>
      </c>
      <c r="F4">
        <v>86</v>
      </c>
      <c r="G4">
        <f t="shared" si="0"/>
        <v>273</v>
      </c>
      <c r="H4">
        <f t="shared" si="1"/>
        <v>1</v>
      </c>
      <c r="I4" t="str">
        <f t="shared" si="2"/>
        <v>有资格</v>
      </c>
    </row>
    <row r="5" spans="1:9" ht="15.75" x14ac:dyDescent="0.25">
      <c r="A5" s="1">
        <v>190304</v>
      </c>
      <c r="B5" s="3" t="s">
        <v>12</v>
      </c>
      <c r="C5" s="3" t="s">
        <v>23</v>
      </c>
      <c r="D5">
        <v>67</v>
      </c>
      <c r="E5">
        <v>56</v>
      </c>
      <c r="F5">
        <v>45</v>
      </c>
      <c r="G5">
        <f t="shared" si="0"/>
        <v>168</v>
      </c>
      <c r="H5">
        <f t="shared" si="1"/>
        <v>10</v>
      </c>
      <c r="I5" t="str">
        <f t="shared" si="2"/>
        <v>无资格</v>
      </c>
    </row>
    <row r="6" spans="1:9" ht="15.75" x14ac:dyDescent="0.25">
      <c r="A6" s="1">
        <v>190305</v>
      </c>
      <c r="B6" s="3" t="s">
        <v>13</v>
      </c>
      <c r="C6" s="3" t="s">
        <v>24</v>
      </c>
      <c r="D6">
        <v>87</v>
      </c>
      <c r="E6">
        <v>90</v>
      </c>
      <c r="F6">
        <v>71</v>
      </c>
      <c r="G6">
        <f t="shared" si="0"/>
        <v>248</v>
      </c>
      <c r="H6">
        <f t="shared" si="1"/>
        <v>3</v>
      </c>
      <c r="I6" t="str">
        <f t="shared" si="2"/>
        <v>无资格</v>
      </c>
    </row>
    <row r="7" spans="1:9" ht="15.75" x14ac:dyDescent="0.25">
      <c r="A7" s="1">
        <v>190306</v>
      </c>
      <c r="B7" s="3" t="s">
        <v>14</v>
      </c>
      <c r="C7" s="3" t="s">
        <v>24</v>
      </c>
      <c r="D7">
        <v>71</v>
      </c>
      <c r="E7">
        <v>84</v>
      </c>
      <c r="F7">
        <v>95</v>
      </c>
      <c r="G7">
        <f t="shared" si="0"/>
        <v>250</v>
      </c>
      <c r="H7">
        <f t="shared" si="1"/>
        <v>2</v>
      </c>
      <c r="I7" t="str">
        <f t="shared" si="2"/>
        <v>无资格</v>
      </c>
    </row>
    <row r="8" spans="1:9" ht="15.75" x14ac:dyDescent="0.25">
      <c r="A8" s="1">
        <v>190307</v>
      </c>
      <c r="B8" s="3" t="s">
        <v>15</v>
      </c>
      <c r="C8" s="3" t="s">
        <v>23</v>
      </c>
      <c r="D8">
        <v>70</v>
      </c>
      <c r="E8">
        <v>78</v>
      </c>
      <c r="F8">
        <v>83</v>
      </c>
      <c r="G8">
        <f t="shared" si="0"/>
        <v>231</v>
      </c>
      <c r="H8">
        <f t="shared" si="1"/>
        <v>5</v>
      </c>
      <c r="I8" t="str">
        <f t="shared" si="2"/>
        <v>无资格</v>
      </c>
    </row>
    <row r="9" spans="1:9" ht="15.75" x14ac:dyDescent="0.25">
      <c r="A9" s="1">
        <v>190308</v>
      </c>
      <c r="B9" t="s">
        <v>18</v>
      </c>
      <c r="C9" t="s">
        <v>23</v>
      </c>
      <c r="D9">
        <v>79</v>
      </c>
      <c r="E9">
        <v>67</v>
      </c>
      <c r="F9">
        <v>80</v>
      </c>
      <c r="G9">
        <f t="shared" si="0"/>
        <v>226</v>
      </c>
      <c r="H9">
        <f t="shared" si="1"/>
        <v>6</v>
      </c>
      <c r="I9" t="str">
        <f t="shared" si="2"/>
        <v>无资格</v>
      </c>
    </row>
    <row r="10" spans="1:9" ht="15.75" x14ac:dyDescent="0.25">
      <c r="A10" s="1">
        <v>190309</v>
      </c>
      <c r="B10" s="3" t="s">
        <v>10</v>
      </c>
      <c r="C10" s="3" t="s">
        <v>24</v>
      </c>
      <c r="D10">
        <v>84</v>
      </c>
      <c r="E10">
        <v>50</v>
      </c>
      <c r="F10">
        <v>69</v>
      </c>
      <c r="G10">
        <f t="shared" si="0"/>
        <v>203</v>
      </c>
      <c r="H10">
        <f t="shared" si="1"/>
        <v>8</v>
      </c>
      <c r="I10" t="str">
        <f t="shared" si="2"/>
        <v>无资格</v>
      </c>
    </row>
    <row r="11" spans="1:9" ht="15.75" x14ac:dyDescent="0.25">
      <c r="A11" s="1">
        <v>190310</v>
      </c>
      <c r="B11" s="3" t="s">
        <v>11</v>
      </c>
      <c r="C11" s="3" t="s">
        <v>23</v>
      </c>
      <c r="D11">
        <v>55</v>
      </c>
      <c r="E11">
        <v>72</v>
      </c>
      <c r="F11">
        <v>69</v>
      </c>
      <c r="G11">
        <f t="shared" si="0"/>
        <v>196</v>
      </c>
      <c r="H11">
        <f t="shared" si="1"/>
        <v>9</v>
      </c>
      <c r="I11" t="str">
        <f t="shared" si="2"/>
        <v>无资格</v>
      </c>
    </row>
    <row r="12" spans="1:9" x14ac:dyDescent="0.15">
      <c r="C12" s="3" t="s">
        <v>19</v>
      </c>
      <c r="D12">
        <f>LARGE(D2:D11,1)</f>
        <v>92</v>
      </c>
      <c r="E12">
        <f t="shared" ref="E12:F12" si="3">LARGE(E2:E11,1)</f>
        <v>95</v>
      </c>
      <c r="F12">
        <f t="shared" si="3"/>
        <v>95</v>
      </c>
    </row>
    <row r="13" spans="1:9" x14ac:dyDescent="0.15">
      <c r="C13" s="3" t="s">
        <v>20</v>
      </c>
      <c r="D13">
        <f>LARGE(D2:D11,2)</f>
        <v>89</v>
      </c>
      <c r="E13">
        <f t="shared" ref="E13:F13" si="4">LARGE(E2:E11,2)</f>
        <v>90</v>
      </c>
      <c r="F13">
        <f t="shared" si="4"/>
        <v>86</v>
      </c>
    </row>
    <row r="14" spans="1:9" x14ac:dyDescent="0.15">
      <c r="C14" s="3" t="s">
        <v>21</v>
      </c>
      <c r="D14">
        <f>SMALL(D2:D11,1)</f>
        <v>55</v>
      </c>
      <c r="E14">
        <f t="shared" ref="E14:F14" si="5">SMALL(E2:E11,1)</f>
        <v>50</v>
      </c>
      <c r="F14">
        <f t="shared" si="5"/>
        <v>45</v>
      </c>
    </row>
    <row r="15" spans="1:9" x14ac:dyDescent="0.15">
      <c r="C15" s="3" t="s">
        <v>22</v>
      </c>
      <c r="D15">
        <f>SMALL(D2:D11,2)</f>
        <v>67</v>
      </c>
      <c r="E15">
        <f t="shared" ref="E15:F15" si="6">SMALL(E2:E11,2)</f>
        <v>56</v>
      </c>
      <c r="F15">
        <f t="shared" si="6"/>
        <v>69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期末成绩分析表</vt:lpstr>
      <vt:lpstr>Sheet2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RAN XUN</cp:lastModifiedBy>
  <dcterms:created xsi:type="dcterms:W3CDTF">2006-09-04T06:23:09Z</dcterms:created>
  <dcterms:modified xsi:type="dcterms:W3CDTF">2024-11-30T08:09:27Z</dcterms:modified>
</cp:coreProperties>
</file>