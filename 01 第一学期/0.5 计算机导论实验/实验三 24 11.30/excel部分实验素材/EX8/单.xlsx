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大学计算机实验素材（2016版）\EX8\"/>
    </mc:Choice>
  </mc:AlternateContent>
  <bookViews>
    <workbookView xWindow="240" yWindow="45" windowWidth="13860" windowHeight="3825"/>
  </bookViews>
  <sheets>
    <sheet name="Sheet1" sheetId="2" r:id="rId1"/>
    <sheet name="第二学期期末成绩" sheetId="1" r:id="rId2"/>
  </sheets>
  <definedNames>
    <definedName name="学生档案" localSheetId="0">Sheet1!$A$2:$F$57</definedName>
  </definedNames>
  <calcPr calcId="162913"/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3" i="2"/>
  <c r="H12" i="2"/>
  <c r="H13" i="2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3" i="2"/>
</calcChain>
</file>

<file path=xl/connections.xml><?xml version="1.0" encoding="utf-8"?>
<connections xmlns="http://schemas.openxmlformats.org/spreadsheetml/2006/main">
  <connection id="1" name="学生档案" type="6" refreshedVersion="6" background="1" saveData="1">
    <textPr codePage="20936" sourceFile="I:\大学计算机实验素材（2016版）\EX8\学生档案.txt">
      <textFields count="6">
        <textField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<sst xmlns="http://schemas.openxmlformats.org/spreadsheetml/2006/main" count="199" uniqueCount="158">
  <si>
    <t>学号</t>
  </si>
  <si>
    <t>姓名</t>
  </si>
  <si>
    <t>语文</t>
  </si>
  <si>
    <t>数学</t>
  </si>
  <si>
    <t>英语</t>
  </si>
  <si>
    <t>生物</t>
  </si>
  <si>
    <t>地理</t>
  </si>
  <si>
    <t>历史</t>
  </si>
  <si>
    <t>政治</t>
  </si>
  <si>
    <t>曾令煊</t>
  </si>
  <si>
    <t>杜学江</t>
  </si>
  <si>
    <t>齐飞扬</t>
  </si>
  <si>
    <t>苏解放</t>
  </si>
  <si>
    <t>谢如康</t>
  </si>
  <si>
    <t>张桂花</t>
  </si>
  <si>
    <t>陈万地</t>
  </si>
  <si>
    <t>李北大</t>
  </si>
  <si>
    <t>刘康锋</t>
  </si>
  <si>
    <t>刘鹏举</t>
  </si>
  <si>
    <t>孙玉敏</t>
  </si>
  <si>
    <t>王清华</t>
  </si>
  <si>
    <t>包宏伟</t>
  </si>
  <si>
    <t>符合</t>
  </si>
  <si>
    <t>吉祥</t>
  </si>
  <si>
    <t>李娜娜</t>
  </si>
  <si>
    <t>倪冬声</t>
  </si>
  <si>
    <t>闫朝霞</t>
  </si>
  <si>
    <t>初三第二学期期末成绩</t>
    <phoneticPr fontId="1" type="noConversion"/>
  </si>
  <si>
    <t>学号姓名</t>
  </si>
  <si>
    <t>身份证号码</t>
  </si>
  <si>
    <t>性别</t>
  </si>
  <si>
    <t>出生日期</t>
  </si>
  <si>
    <t>年龄</t>
  </si>
  <si>
    <t>籍贯</t>
  </si>
  <si>
    <t>C121417马小军</t>
  </si>
  <si>
    <t>湖北</t>
  </si>
  <si>
    <t>C121301曾令铨</t>
  </si>
  <si>
    <t>北京</t>
  </si>
  <si>
    <t>C121201张国强</t>
  </si>
  <si>
    <t>C121424孙令煊</t>
  </si>
  <si>
    <t>C121404江晓勇</t>
  </si>
  <si>
    <t>山西</t>
  </si>
  <si>
    <t>C121001吴小飞</t>
  </si>
  <si>
    <t>C121422姚南</t>
  </si>
  <si>
    <t>C121425杜学江</t>
  </si>
  <si>
    <t>C121401宋子丹</t>
  </si>
  <si>
    <t>C121439吕文伟</t>
  </si>
  <si>
    <t>湖南</t>
  </si>
  <si>
    <t>C120802符坚</t>
  </si>
  <si>
    <t>C121411张杰</t>
  </si>
  <si>
    <t>C120901谢如雪</t>
  </si>
  <si>
    <t>C121440方天宇</t>
  </si>
  <si>
    <t>河北</t>
  </si>
  <si>
    <t>C121413莫一明</t>
  </si>
  <si>
    <t>C121423徐霞客</t>
  </si>
  <si>
    <t>C121432孙玉敏</t>
  </si>
  <si>
    <t>山东</t>
  </si>
  <si>
    <t>C121101徐鹏飞</t>
  </si>
  <si>
    <t>陕西</t>
  </si>
  <si>
    <t>C121403张雄杰</t>
  </si>
  <si>
    <t>C121437康秋林</t>
  </si>
  <si>
    <t>C121420陈家洛</t>
  </si>
  <si>
    <t>吉林</t>
  </si>
  <si>
    <t>C121003苏三强</t>
  </si>
  <si>
    <t>河南</t>
  </si>
  <si>
    <t>C121428陈万地</t>
  </si>
  <si>
    <t>C121410苏国强</t>
  </si>
  <si>
    <t>C121412吉莉莉</t>
  </si>
  <si>
    <t>C121407甄士隐</t>
  </si>
  <si>
    <t>C120801白宏伟</t>
  </si>
  <si>
    <t>四川</t>
  </si>
  <si>
    <t>C121002毛兰儿</t>
  </si>
  <si>
    <t>安徽</t>
  </si>
  <si>
    <t>C121433王清华</t>
  </si>
  <si>
    <t>云南</t>
  </si>
  <si>
    <t>C121302黄蓉</t>
  </si>
  <si>
    <t>贵州</t>
  </si>
  <si>
    <t>C121405齐小娟</t>
  </si>
  <si>
    <t>C121414郭晶晶</t>
  </si>
  <si>
    <t>C121415侯登科</t>
  </si>
  <si>
    <t>C121430刘小锋</t>
  </si>
  <si>
    <t>C121402郑菁华</t>
  </si>
  <si>
    <t>C121442习志敏</t>
  </si>
  <si>
    <t>C121434李春娜</t>
  </si>
  <si>
    <t>C121441郎润</t>
  </si>
  <si>
    <t>C121435倪冬声</t>
  </si>
  <si>
    <t>C121426齐飞扬</t>
  </si>
  <si>
    <t>天津</t>
  </si>
  <si>
    <t>C121408周梦飞</t>
  </si>
  <si>
    <t>C121438钱飞虎</t>
  </si>
  <si>
    <t>C121303侯小文</t>
  </si>
  <si>
    <t>C121429张国强</t>
  </si>
  <si>
    <t>C121416宋子文</t>
  </si>
  <si>
    <t>C121409杜春兰</t>
  </si>
  <si>
    <t>C121444李北冥</t>
  </si>
  <si>
    <t>C121427苏解玉</t>
  </si>
  <si>
    <t>C121431张鹏举</t>
  </si>
  <si>
    <t>C121421张国强</t>
  </si>
  <si>
    <t>C121418郑秀丽</t>
  </si>
  <si>
    <t>C121406孙如红</t>
  </si>
  <si>
    <t>C121443张馥郁</t>
  </si>
  <si>
    <t>C121419刘小红</t>
  </si>
  <si>
    <t>C121436闫朝霞</t>
  </si>
  <si>
    <t>11010519990531542X</t>
  </si>
  <si>
    <t>110102199812191513</t>
  </si>
  <si>
    <t>110102199903292713</t>
  </si>
  <si>
    <t>110102199904271532</t>
  </si>
  <si>
    <t>110102199905240451</t>
  </si>
  <si>
    <t>110102199905281913</t>
  </si>
  <si>
    <t>110103199903040920</t>
  </si>
  <si>
    <t>110103199903270623</t>
  </si>
  <si>
    <t>110103199904290936</t>
  </si>
  <si>
    <t>110103199908171548</t>
  </si>
  <si>
    <t>110104199810261737</t>
  </si>
  <si>
    <t>110104199903051216</t>
  </si>
  <si>
    <t>110105199807142140</t>
  </si>
  <si>
    <t>110105199810054517</t>
  </si>
  <si>
    <t>110105199810212519</t>
  </si>
  <si>
    <t>110105199811111135</t>
  </si>
  <si>
    <t>110105199906036123</t>
  </si>
  <si>
    <t>110106199903293913</t>
  </si>
  <si>
    <t>110106199905133052</t>
  </si>
  <si>
    <t>110106199905174819</t>
  </si>
  <si>
    <t>110106199907250970</t>
  </si>
  <si>
    <t>110107199904230930</t>
  </si>
  <si>
    <t>110108199811063791</t>
  </si>
  <si>
    <t>110108199812284251</t>
  </si>
  <si>
    <t>110108199908013724</t>
  </si>
  <si>
    <t>110108200001295479</t>
  </si>
  <si>
    <t>110109199810240031</t>
  </si>
  <si>
    <t>110109199908070328</t>
  </si>
  <si>
    <t>110111199810014018</t>
  </si>
  <si>
    <t>110111199810042027</t>
  </si>
  <si>
    <t>110111199906163022</t>
  </si>
  <si>
    <t>110221199909293625</t>
  </si>
  <si>
    <t>110221200002048335</t>
  </si>
  <si>
    <t>110223199905060558</t>
  </si>
  <si>
    <t>110223199906235661</t>
  </si>
  <si>
    <t>110223199910136635</t>
  </si>
  <si>
    <t>110223200001116380</t>
  </si>
  <si>
    <t>110224199810234821</t>
  </si>
  <si>
    <t>110224199907042031</t>
  </si>
  <si>
    <t>110224200001280026</t>
  </si>
  <si>
    <t>110226199904111420</t>
  </si>
  <si>
    <t>110226199908090053</t>
  </si>
  <si>
    <t>110226199910021915</t>
  </si>
  <si>
    <t>110226199912221659</t>
  </si>
  <si>
    <t>110226199912240017</t>
  </si>
  <si>
    <t>110227199812061545</t>
  </si>
  <si>
    <t>110227199909040059</t>
  </si>
  <si>
    <t>110229199811140023</t>
  </si>
  <si>
    <t>110229199909011331</t>
  </si>
  <si>
    <t>110229199909060831</t>
  </si>
  <si>
    <t>120112199811263741</t>
  </si>
  <si>
    <t>130630199905210048</t>
  </si>
  <si>
    <t>131182199909163825</t>
  </si>
  <si>
    <t>150404199909074122</t>
  </si>
  <si>
    <t>110101200001051054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</si>
</sst>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yyyy/m/d;@"/>
    <numFmt numFmtId="178" formatCode="0_ 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学生档案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7"/>
  <sheetViews>
    <sheetView tabSelected="1" topLeftCell="A44" workbookViewId="0">
      <selection activeCell="E66" sqref="E66"/>
    </sheetView>
  </sheetViews>
  <sheetFormatPr defaultRowHeight="13.5" x14ac:dyDescent="0.15"/>
  <cols>
    <col min="1" max="1" width="14.625" bestFit="1" customWidth="1"/>
    <col min="2" max="2" width="23.875" customWidth="1"/>
    <col min="3" max="3" width="10.25" customWidth="1"/>
    <col min="4" max="4" width="19.625" customWidth="1"/>
    <col min="5" max="5" width="12.625" customWidth="1"/>
    <col min="6" max="6" width="5.25" customWidth="1"/>
    <col min="8" max="8" width="11.625" bestFit="1" customWidth="1"/>
  </cols>
  <sheetData>
    <row r="2" spans="1:8" x14ac:dyDescent="0.15">
      <c r="A2" t="s">
        <v>28</v>
      </c>
      <c r="B2" s="4" t="s">
        <v>29</v>
      </c>
      <c r="C2" t="s">
        <v>30</v>
      </c>
      <c r="D2" t="s">
        <v>31</v>
      </c>
      <c r="E2" t="s">
        <v>32</v>
      </c>
      <c r="F2" t="s">
        <v>33</v>
      </c>
    </row>
    <row r="3" spans="1:8" x14ac:dyDescent="0.15">
      <c r="A3" t="s">
        <v>34</v>
      </c>
      <c r="B3" s="4" t="s">
        <v>157</v>
      </c>
      <c r="C3" t="str">
        <f>IF(MOD(MID(B3,17,1),2)=0,"女","男")</f>
        <v>男</v>
      </c>
      <c r="D3" s="5" t="str">
        <f>MID(B3,7,4)&amp;"年"&amp;MID(B3,11,2)&amp;"月"&amp;MID(B3,13,2)&amp;"日"</f>
        <v>2000年01月05日</v>
      </c>
      <c r="E3" s="7">
        <f ca="1">YEAR(TODAY())-MID(B3,7,4)</f>
        <v>21</v>
      </c>
      <c r="F3" t="s">
        <v>35</v>
      </c>
    </row>
    <row r="4" spans="1:8" x14ac:dyDescent="0.15">
      <c r="A4" t="s">
        <v>36</v>
      </c>
      <c r="B4" s="4" t="s">
        <v>104</v>
      </c>
      <c r="C4" t="str">
        <f t="shared" ref="C4:C57" si="0">IF(MOD(MID(B4,17,1),2)=0,"女","男")</f>
        <v>男</v>
      </c>
      <c r="D4" t="str">
        <f t="shared" ref="D4:D57" si="1">MID(B4,7,4)&amp;"年"&amp;MID(B4,11,2)&amp;"月"&amp;MID(B4,13,2)&amp;"日"</f>
        <v>1998年12月19日</v>
      </c>
      <c r="E4" s="7">
        <f t="shared" ref="E4:E57" ca="1" si="2">YEAR(TODAY())-MID(B4,7,4)</f>
        <v>23</v>
      </c>
      <c r="F4" t="s">
        <v>37</v>
      </c>
    </row>
    <row r="5" spans="1:8" x14ac:dyDescent="0.15">
      <c r="A5" t="s">
        <v>38</v>
      </c>
      <c r="B5" s="4" t="s">
        <v>105</v>
      </c>
      <c r="C5" t="str">
        <f t="shared" si="0"/>
        <v>男</v>
      </c>
      <c r="D5" t="str">
        <f t="shared" si="1"/>
        <v>1999年03月29日</v>
      </c>
      <c r="E5" s="7">
        <f t="shared" ca="1" si="2"/>
        <v>22</v>
      </c>
      <c r="F5" t="s">
        <v>37</v>
      </c>
    </row>
    <row r="6" spans="1:8" x14ac:dyDescent="0.15">
      <c r="A6" t="s">
        <v>39</v>
      </c>
      <c r="B6" s="4" t="s">
        <v>106</v>
      </c>
      <c r="C6" t="str">
        <f t="shared" si="0"/>
        <v>男</v>
      </c>
      <c r="D6" t="str">
        <f t="shared" si="1"/>
        <v>1999年04月27日</v>
      </c>
      <c r="E6" s="7">
        <f t="shared" ca="1" si="2"/>
        <v>22</v>
      </c>
      <c r="F6" t="s">
        <v>37</v>
      </c>
    </row>
    <row r="7" spans="1:8" x14ac:dyDescent="0.15">
      <c r="A7" t="s">
        <v>40</v>
      </c>
      <c r="B7" s="4" t="s">
        <v>107</v>
      </c>
      <c r="C7" t="str">
        <f t="shared" si="0"/>
        <v>男</v>
      </c>
      <c r="D7" t="str">
        <f t="shared" si="1"/>
        <v>1999年05月24日</v>
      </c>
      <c r="E7" s="7">
        <f t="shared" ca="1" si="2"/>
        <v>22</v>
      </c>
      <c r="F7" t="s">
        <v>41</v>
      </c>
    </row>
    <row r="8" spans="1:8" x14ac:dyDescent="0.15">
      <c r="A8" t="s">
        <v>42</v>
      </c>
      <c r="B8" s="4" t="s">
        <v>108</v>
      </c>
      <c r="C8" t="str">
        <f t="shared" si="0"/>
        <v>男</v>
      </c>
      <c r="D8" t="str">
        <f t="shared" si="1"/>
        <v>1999年05月28日</v>
      </c>
      <c r="E8" s="7">
        <f t="shared" ca="1" si="2"/>
        <v>22</v>
      </c>
      <c r="F8" t="s">
        <v>37</v>
      </c>
    </row>
    <row r="9" spans="1:8" x14ac:dyDescent="0.15">
      <c r="A9" t="s">
        <v>43</v>
      </c>
      <c r="B9" s="4" t="s">
        <v>109</v>
      </c>
      <c r="C9" t="str">
        <f t="shared" si="0"/>
        <v>女</v>
      </c>
      <c r="D9" t="str">
        <f t="shared" si="1"/>
        <v>1999年03月04日</v>
      </c>
      <c r="E9" s="7">
        <f t="shared" ca="1" si="2"/>
        <v>22</v>
      </c>
      <c r="F9" t="s">
        <v>37</v>
      </c>
    </row>
    <row r="10" spans="1:8" x14ac:dyDescent="0.15">
      <c r="A10" t="s">
        <v>44</v>
      </c>
      <c r="B10" s="4" t="s">
        <v>110</v>
      </c>
      <c r="C10" t="str">
        <f t="shared" si="0"/>
        <v>女</v>
      </c>
      <c r="D10" t="str">
        <f t="shared" si="1"/>
        <v>1999年03月27日</v>
      </c>
      <c r="E10" s="7">
        <f t="shared" ca="1" si="2"/>
        <v>22</v>
      </c>
      <c r="F10" t="s">
        <v>37</v>
      </c>
    </row>
    <row r="11" spans="1:8" x14ac:dyDescent="0.15">
      <c r="A11" t="s">
        <v>45</v>
      </c>
      <c r="B11" s="4" t="s">
        <v>111</v>
      </c>
      <c r="C11" t="str">
        <f t="shared" si="0"/>
        <v>男</v>
      </c>
      <c r="D11" t="str">
        <f t="shared" si="1"/>
        <v>1999年04月29日</v>
      </c>
      <c r="E11" s="7">
        <f t="shared" ca="1" si="2"/>
        <v>22</v>
      </c>
      <c r="F11" t="s">
        <v>37</v>
      </c>
    </row>
    <row r="12" spans="1:8" x14ac:dyDescent="0.15">
      <c r="A12" t="s">
        <v>46</v>
      </c>
      <c r="B12" s="4" t="s">
        <v>112</v>
      </c>
      <c r="C12" t="str">
        <f t="shared" si="0"/>
        <v>女</v>
      </c>
      <c r="D12" t="str">
        <f t="shared" si="1"/>
        <v>1999年08月17日</v>
      </c>
      <c r="E12" s="7">
        <f t="shared" ca="1" si="2"/>
        <v>22</v>
      </c>
      <c r="F12" t="s">
        <v>47</v>
      </c>
      <c r="H12" s="6">
        <f ca="1">TODAY()</f>
        <v>44530</v>
      </c>
    </row>
    <row r="13" spans="1:8" x14ac:dyDescent="0.15">
      <c r="A13" t="s">
        <v>48</v>
      </c>
      <c r="B13" s="4" t="s">
        <v>113</v>
      </c>
      <c r="C13" t="str">
        <f t="shared" si="0"/>
        <v>男</v>
      </c>
      <c r="D13" t="str">
        <f t="shared" si="1"/>
        <v>1998年10月26日</v>
      </c>
      <c r="E13" s="7">
        <f t="shared" ca="1" si="2"/>
        <v>23</v>
      </c>
      <c r="F13" t="s">
        <v>41</v>
      </c>
      <c r="H13">
        <f ca="1">YEAR(H12)</f>
        <v>2021</v>
      </c>
    </row>
    <row r="14" spans="1:8" x14ac:dyDescent="0.15">
      <c r="A14" t="s">
        <v>49</v>
      </c>
      <c r="B14" s="4" t="s">
        <v>114</v>
      </c>
      <c r="C14" t="str">
        <f t="shared" si="0"/>
        <v>男</v>
      </c>
      <c r="D14" t="str">
        <f t="shared" si="1"/>
        <v>1999年03月05日</v>
      </c>
      <c r="E14" s="7">
        <f t="shared" ca="1" si="2"/>
        <v>22</v>
      </c>
      <c r="F14" t="s">
        <v>37</v>
      </c>
    </row>
    <row r="15" spans="1:8" x14ac:dyDescent="0.15">
      <c r="A15" t="s">
        <v>50</v>
      </c>
      <c r="B15" s="4" t="s">
        <v>115</v>
      </c>
      <c r="C15" t="str">
        <f t="shared" si="0"/>
        <v>女</v>
      </c>
      <c r="D15" t="str">
        <f t="shared" si="1"/>
        <v>1998年07月14日</v>
      </c>
      <c r="E15" s="7">
        <f t="shared" ca="1" si="2"/>
        <v>23</v>
      </c>
      <c r="F15" t="s">
        <v>37</v>
      </c>
    </row>
    <row r="16" spans="1:8" x14ac:dyDescent="0.15">
      <c r="A16" t="s">
        <v>51</v>
      </c>
      <c r="B16" s="4" t="s">
        <v>116</v>
      </c>
      <c r="C16" t="str">
        <f t="shared" si="0"/>
        <v>男</v>
      </c>
      <c r="D16" t="str">
        <f t="shared" si="1"/>
        <v>1998年10月05日</v>
      </c>
      <c r="E16" s="7">
        <f t="shared" ca="1" si="2"/>
        <v>23</v>
      </c>
      <c r="F16" t="s">
        <v>52</v>
      </c>
    </row>
    <row r="17" spans="1:6" x14ac:dyDescent="0.15">
      <c r="A17" t="s">
        <v>53</v>
      </c>
      <c r="B17" s="4" t="s">
        <v>117</v>
      </c>
      <c r="C17" t="str">
        <f t="shared" si="0"/>
        <v>男</v>
      </c>
      <c r="D17" t="str">
        <f t="shared" si="1"/>
        <v>1998年10月21日</v>
      </c>
      <c r="E17" s="7">
        <f t="shared" ca="1" si="2"/>
        <v>23</v>
      </c>
      <c r="F17" t="s">
        <v>37</v>
      </c>
    </row>
    <row r="18" spans="1:6" x14ac:dyDescent="0.15">
      <c r="A18" t="s">
        <v>54</v>
      </c>
      <c r="B18" s="4" t="s">
        <v>118</v>
      </c>
      <c r="C18" t="str">
        <f t="shared" si="0"/>
        <v>男</v>
      </c>
      <c r="D18" t="str">
        <f t="shared" si="1"/>
        <v>1998年11月11日</v>
      </c>
      <c r="E18" s="7">
        <f t="shared" ca="1" si="2"/>
        <v>23</v>
      </c>
      <c r="F18" t="s">
        <v>37</v>
      </c>
    </row>
    <row r="19" spans="1:6" x14ac:dyDescent="0.15">
      <c r="A19" t="s">
        <v>55</v>
      </c>
      <c r="B19" s="4" t="s">
        <v>119</v>
      </c>
      <c r="C19" t="str">
        <f t="shared" si="0"/>
        <v>女</v>
      </c>
      <c r="D19" t="str">
        <f t="shared" si="1"/>
        <v>1999年06月03日</v>
      </c>
      <c r="E19" s="7">
        <f t="shared" ca="1" si="2"/>
        <v>22</v>
      </c>
      <c r="F19" t="s">
        <v>56</v>
      </c>
    </row>
    <row r="20" spans="1:6" x14ac:dyDescent="0.15">
      <c r="A20" t="s">
        <v>57</v>
      </c>
      <c r="B20" s="4" t="s">
        <v>120</v>
      </c>
      <c r="C20" t="str">
        <f t="shared" si="0"/>
        <v>男</v>
      </c>
      <c r="D20" t="str">
        <f t="shared" si="1"/>
        <v>1999年03月29日</v>
      </c>
      <c r="E20" s="7">
        <f t="shared" ca="1" si="2"/>
        <v>22</v>
      </c>
      <c r="F20" t="s">
        <v>58</v>
      </c>
    </row>
    <row r="21" spans="1:6" x14ac:dyDescent="0.15">
      <c r="A21" t="s">
        <v>59</v>
      </c>
      <c r="B21" s="4" t="s">
        <v>121</v>
      </c>
      <c r="C21" t="str">
        <f t="shared" si="0"/>
        <v>男</v>
      </c>
      <c r="D21" t="str">
        <f t="shared" si="1"/>
        <v>1999年05月13日</v>
      </c>
      <c r="E21" s="7">
        <f t="shared" ca="1" si="2"/>
        <v>22</v>
      </c>
      <c r="F21" t="s">
        <v>37</v>
      </c>
    </row>
    <row r="22" spans="1:6" x14ac:dyDescent="0.15">
      <c r="A22" t="s">
        <v>60</v>
      </c>
      <c r="B22" s="4" t="s">
        <v>122</v>
      </c>
      <c r="C22" t="str">
        <f t="shared" si="0"/>
        <v>男</v>
      </c>
      <c r="D22" t="str">
        <f t="shared" si="1"/>
        <v>1999年05月17日</v>
      </c>
      <c r="E22" s="7">
        <f t="shared" ca="1" si="2"/>
        <v>22</v>
      </c>
      <c r="F22" t="s">
        <v>52</v>
      </c>
    </row>
    <row r="23" spans="1:6" x14ac:dyDescent="0.15">
      <c r="A23" t="s">
        <v>61</v>
      </c>
      <c r="B23" s="4" t="s">
        <v>123</v>
      </c>
      <c r="C23" t="str">
        <f t="shared" si="0"/>
        <v>男</v>
      </c>
      <c r="D23" t="str">
        <f t="shared" si="1"/>
        <v>1999年07月25日</v>
      </c>
      <c r="E23" s="7">
        <f t="shared" ca="1" si="2"/>
        <v>22</v>
      </c>
      <c r="F23" t="s">
        <v>62</v>
      </c>
    </row>
    <row r="24" spans="1:6" x14ac:dyDescent="0.15">
      <c r="A24" t="s">
        <v>63</v>
      </c>
      <c r="B24" s="4" t="s">
        <v>124</v>
      </c>
      <c r="C24" t="str">
        <f t="shared" si="0"/>
        <v>男</v>
      </c>
      <c r="D24" t="str">
        <f t="shared" si="1"/>
        <v>1999年04月23日</v>
      </c>
      <c r="E24" s="7">
        <f t="shared" ca="1" si="2"/>
        <v>22</v>
      </c>
      <c r="F24" t="s">
        <v>64</v>
      </c>
    </row>
    <row r="25" spans="1:6" x14ac:dyDescent="0.15">
      <c r="A25" t="s">
        <v>65</v>
      </c>
      <c r="B25" s="4" t="s">
        <v>125</v>
      </c>
      <c r="C25" t="str">
        <f t="shared" si="0"/>
        <v>男</v>
      </c>
      <c r="D25" t="str">
        <f t="shared" si="1"/>
        <v>1998年11月06日</v>
      </c>
      <c r="E25" s="7">
        <f t="shared" ca="1" si="2"/>
        <v>23</v>
      </c>
      <c r="F25" t="s">
        <v>52</v>
      </c>
    </row>
    <row r="26" spans="1:6" x14ac:dyDescent="0.15">
      <c r="A26" t="s">
        <v>66</v>
      </c>
      <c r="B26" s="4" t="s">
        <v>126</v>
      </c>
      <c r="C26" t="str">
        <f t="shared" si="0"/>
        <v>男</v>
      </c>
      <c r="D26" t="str">
        <f t="shared" si="1"/>
        <v>1998年12月28日</v>
      </c>
      <c r="E26" s="7">
        <f t="shared" ca="1" si="2"/>
        <v>23</v>
      </c>
      <c r="F26" t="s">
        <v>56</v>
      </c>
    </row>
    <row r="27" spans="1:6" x14ac:dyDescent="0.15">
      <c r="A27" t="s">
        <v>67</v>
      </c>
      <c r="B27" s="4" t="s">
        <v>127</v>
      </c>
      <c r="C27" t="str">
        <f t="shared" si="0"/>
        <v>女</v>
      </c>
      <c r="D27" t="str">
        <f t="shared" si="1"/>
        <v>1999年08月01日</v>
      </c>
      <c r="E27" s="7">
        <f t="shared" ca="1" si="2"/>
        <v>22</v>
      </c>
      <c r="F27" t="s">
        <v>64</v>
      </c>
    </row>
    <row r="28" spans="1:6" x14ac:dyDescent="0.15">
      <c r="A28" t="s">
        <v>68</v>
      </c>
      <c r="B28" s="4" t="s">
        <v>128</v>
      </c>
      <c r="C28" t="str">
        <f t="shared" si="0"/>
        <v>男</v>
      </c>
      <c r="D28" t="str">
        <f t="shared" si="1"/>
        <v>2000年01月29日</v>
      </c>
      <c r="E28" s="7">
        <f t="shared" ca="1" si="2"/>
        <v>21</v>
      </c>
      <c r="F28" t="s">
        <v>41</v>
      </c>
    </row>
    <row r="29" spans="1:6" x14ac:dyDescent="0.15">
      <c r="A29" t="s">
        <v>69</v>
      </c>
      <c r="B29" s="4" t="s">
        <v>129</v>
      </c>
      <c r="C29" t="str">
        <f t="shared" si="0"/>
        <v>男</v>
      </c>
      <c r="D29" t="str">
        <f t="shared" si="1"/>
        <v>1998年10月24日</v>
      </c>
      <c r="E29" s="7">
        <f t="shared" ca="1" si="2"/>
        <v>23</v>
      </c>
      <c r="F29" t="s">
        <v>70</v>
      </c>
    </row>
    <row r="30" spans="1:6" x14ac:dyDescent="0.15">
      <c r="A30" t="s">
        <v>71</v>
      </c>
      <c r="B30" s="4" t="s">
        <v>130</v>
      </c>
      <c r="C30" t="str">
        <f t="shared" si="0"/>
        <v>女</v>
      </c>
      <c r="D30" t="str">
        <f t="shared" si="1"/>
        <v>1999年08月07日</v>
      </c>
      <c r="E30" s="7">
        <f t="shared" ca="1" si="2"/>
        <v>22</v>
      </c>
      <c r="F30" t="s">
        <v>72</v>
      </c>
    </row>
    <row r="31" spans="1:6" x14ac:dyDescent="0.15">
      <c r="A31" t="s">
        <v>73</v>
      </c>
      <c r="B31" s="4" t="s">
        <v>131</v>
      </c>
      <c r="C31" t="str">
        <f t="shared" si="0"/>
        <v>男</v>
      </c>
      <c r="D31" t="str">
        <f t="shared" si="1"/>
        <v>1998年10月01日</v>
      </c>
      <c r="E31" s="7">
        <f t="shared" ca="1" si="2"/>
        <v>23</v>
      </c>
      <c r="F31" t="s">
        <v>74</v>
      </c>
    </row>
    <row r="32" spans="1:6" x14ac:dyDescent="0.15">
      <c r="A32" t="s">
        <v>75</v>
      </c>
      <c r="B32" s="4" t="s">
        <v>132</v>
      </c>
      <c r="C32" t="str">
        <f t="shared" si="0"/>
        <v>女</v>
      </c>
      <c r="D32" t="str">
        <f t="shared" si="1"/>
        <v>1998年10月04日</v>
      </c>
      <c r="E32" s="7">
        <f t="shared" ca="1" si="2"/>
        <v>23</v>
      </c>
      <c r="F32" t="s">
        <v>76</v>
      </c>
    </row>
    <row r="33" spans="1:6" x14ac:dyDescent="0.15">
      <c r="A33" t="s">
        <v>77</v>
      </c>
      <c r="B33" s="4" t="s">
        <v>133</v>
      </c>
      <c r="C33" t="str">
        <f t="shared" si="0"/>
        <v>女</v>
      </c>
      <c r="D33" t="str">
        <f t="shared" si="1"/>
        <v>1999年06月16日</v>
      </c>
      <c r="E33" s="7">
        <f t="shared" ca="1" si="2"/>
        <v>22</v>
      </c>
      <c r="F33" t="s">
        <v>37</v>
      </c>
    </row>
    <row r="34" spans="1:6" x14ac:dyDescent="0.15">
      <c r="A34" t="s">
        <v>78</v>
      </c>
      <c r="B34" s="4" t="s">
        <v>134</v>
      </c>
      <c r="C34" t="str">
        <f t="shared" si="0"/>
        <v>女</v>
      </c>
      <c r="D34" t="str">
        <f t="shared" si="1"/>
        <v>1999年09月29日</v>
      </c>
      <c r="E34" s="7">
        <f t="shared" ca="1" si="2"/>
        <v>22</v>
      </c>
      <c r="F34" t="s">
        <v>37</v>
      </c>
    </row>
    <row r="35" spans="1:6" x14ac:dyDescent="0.15">
      <c r="A35" t="s">
        <v>79</v>
      </c>
      <c r="B35" s="4" t="s">
        <v>135</v>
      </c>
      <c r="C35" t="str">
        <f t="shared" si="0"/>
        <v>男</v>
      </c>
      <c r="D35" t="str">
        <f t="shared" si="1"/>
        <v>2000年02月04日</v>
      </c>
      <c r="E35" s="7">
        <f t="shared" ca="1" si="2"/>
        <v>21</v>
      </c>
      <c r="F35" t="s">
        <v>37</v>
      </c>
    </row>
    <row r="36" spans="1:6" x14ac:dyDescent="0.15">
      <c r="A36" t="s">
        <v>80</v>
      </c>
      <c r="B36" s="4" t="s">
        <v>136</v>
      </c>
      <c r="C36" t="str">
        <f t="shared" si="0"/>
        <v>男</v>
      </c>
      <c r="D36" t="str">
        <f t="shared" si="1"/>
        <v>1999年05月06日</v>
      </c>
      <c r="E36" s="7">
        <f t="shared" ca="1" si="2"/>
        <v>22</v>
      </c>
      <c r="F36" t="s">
        <v>41</v>
      </c>
    </row>
    <row r="37" spans="1:6" x14ac:dyDescent="0.15">
      <c r="A37" t="s">
        <v>81</v>
      </c>
      <c r="B37" s="4" t="s">
        <v>137</v>
      </c>
      <c r="C37" t="str">
        <f t="shared" si="0"/>
        <v>女</v>
      </c>
      <c r="D37" t="str">
        <f t="shared" si="1"/>
        <v>1999年06月23日</v>
      </c>
      <c r="E37" s="7">
        <f t="shared" ca="1" si="2"/>
        <v>22</v>
      </c>
      <c r="F37" t="s">
        <v>37</v>
      </c>
    </row>
    <row r="38" spans="1:6" x14ac:dyDescent="0.15">
      <c r="A38" t="s">
        <v>82</v>
      </c>
      <c r="B38" s="4" t="s">
        <v>138</v>
      </c>
      <c r="C38" t="str">
        <f t="shared" si="0"/>
        <v>男</v>
      </c>
      <c r="D38" t="str">
        <f t="shared" si="1"/>
        <v>1999年10月13日</v>
      </c>
      <c r="E38" s="7">
        <f t="shared" ca="1" si="2"/>
        <v>22</v>
      </c>
      <c r="F38" t="s">
        <v>37</v>
      </c>
    </row>
    <row r="39" spans="1:6" x14ac:dyDescent="0.15">
      <c r="A39" t="s">
        <v>83</v>
      </c>
      <c r="B39" s="4" t="s">
        <v>139</v>
      </c>
      <c r="C39" t="str">
        <f t="shared" si="0"/>
        <v>女</v>
      </c>
      <c r="D39" t="str">
        <f t="shared" si="1"/>
        <v>2000年01月11日</v>
      </c>
      <c r="E39" s="7">
        <f t="shared" ca="1" si="2"/>
        <v>21</v>
      </c>
      <c r="F39" t="s">
        <v>37</v>
      </c>
    </row>
    <row r="40" spans="1:6" x14ac:dyDescent="0.15">
      <c r="A40" t="s">
        <v>84</v>
      </c>
      <c r="B40" s="4" t="s">
        <v>140</v>
      </c>
      <c r="C40" t="str">
        <f t="shared" si="0"/>
        <v>女</v>
      </c>
      <c r="D40" t="str">
        <f t="shared" si="1"/>
        <v>1998年10月23日</v>
      </c>
      <c r="E40" s="7">
        <f t="shared" ca="1" si="2"/>
        <v>23</v>
      </c>
      <c r="F40" t="s">
        <v>37</v>
      </c>
    </row>
    <row r="41" spans="1:6" x14ac:dyDescent="0.15">
      <c r="A41" t="s">
        <v>85</v>
      </c>
      <c r="B41" s="4" t="s">
        <v>141</v>
      </c>
      <c r="C41" t="str">
        <f t="shared" si="0"/>
        <v>男</v>
      </c>
      <c r="D41" t="str">
        <f t="shared" si="1"/>
        <v>1999年07月04日</v>
      </c>
      <c r="E41" s="7">
        <f t="shared" ca="1" si="2"/>
        <v>22</v>
      </c>
      <c r="F41" t="s">
        <v>37</v>
      </c>
    </row>
    <row r="42" spans="1:6" x14ac:dyDescent="0.15">
      <c r="A42" t="s">
        <v>86</v>
      </c>
      <c r="B42" s="4" t="s">
        <v>142</v>
      </c>
      <c r="C42" t="str">
        <f t="shared" si="0"/>
        <v>女</v>
      </c>
      <c r="D42" t="str">
        <f t="shared" si="1"/>
        <v>2000年01月28日</v>
      </c>
      <c r="E42" s="7">
        <f t="shared" ca="1" si="2"/>
        <v>21</v>
      </c>
      <c r="F42" t="s">
        <v>87</v>
      </c>
    </row>
    <row r="43" spans="1:6" x14ac:dyDescent="0.15">
      <c r="A43" t="s">
        <v>88</v>
      </c>
      <c r="B43" s="4" t="s">
        <v>143</v>
      </c>
      <c r="C43" t="str">
        <f t="shared" si="0"/>
        <v>女</v>
      </c>
      <c r="D43" t="str">
        <f t="shared" si="1"/>
        <v>1999年04月11日</v>
      </c>
      <c r="E43" s="7">
        <f t="shared" ca="1" si="2"/>
        <v>22</v>
      </c>
      <c r="F43" t="s">
        <v>37</v>
      </c>
    </row>
    <row r="44" spans="1:6" x14ac:dyDescent="0.15">
      <c r="A44" t="s">
        <v>89</v>
      </c>
      <c r="B44" s="4" t="s">
        <v>144</v>
      </c>
      <c r="C44" t="str">
        <f t="shared" si="0"/>
        <v>男</v>
      </c>
      <c r="D44" t="str">
        <f t="shared" si="1"/>
        <v>1999年08月09日</v>
      </c>
      <c r="E44" s="7">
        <f t="shared" ca="1" si="2"/>
        <v>22</v>
      </c>
      <c r="F44" t="s">
        <v>37</v>
      </c>
    </row>
    <row r="45" spans="1:6" x14ac:dyDescent="0.15">
      <c r="A45" t="s">
        <v>90</v>
      </c>
      <c r="B45" s="4" t="s">
        <v>145</v>
      </c>
      <c r="C45" t="str">
        <f t="shared" si="0"/>
        <v>男</v>
      </c>
      <c r="D45" t="str">
        <f t="shared" si="1"/>
        <v>1999年10月02日</v>
      </c>
      <c r="E45" s="7">
        <f t="shared" ca="1" si="2"/>
        <v>22</v>
      </c>
      <c r="F45" t="s">
        <v>74</v>
      </c>
    </row>
    <row r="46" spans="1:6" x14ac:dyDescent="0.15">
      <c r="A46" t="s">
        <v>91</v>
      </c>
      <c r="B46" s="4" t="s">
        <v>146</v>
      </c>
      <c r="C46" t="str">
        <f t="shared" si="0"/>
        <v>男</v>
      </c>
      <c r="D46" t="str">
        <f t="shared" si="1"/>
        <v>1999年12月22日</v>
      </c>
      <c r="E46" s="7">
        <f t="shared" ca="1" si="2"/>
        <v>22</v>
      </c>
      <c r="F46" t="s">
        <v>37</v>
      </c>
    </row>
    <row r="47" spans="1:6" x14ac:dyDescent="0.15">
      <c r="A47" t="s">
        <v>92</v>
      </c>
      <c r="B47" s="4" t="s">
        <v>147</v>
      </c>
      <c r="C47" t="str">
        <f t="shared" si="0"/>
        <v>男</v>
      </c>
      <c r="D47" t="str">
        <f t="shared" si="1"/>
        <v>1999年12月24日</v>
      </c>
      <c r="E47" s="7">
        <f t="shared" ca="1" si="2"/>
        <v>22</v>
      </c>
      <c r="F47" t="s">
        <v>37</v>
      </c>
    </row>
    <row r="48" spans="1:6" x14ac:dyDescent="0.15">
      <c r="A48" t="s">
        <v>93</v>
      </c>
      <c r="B48" s="4" t="s">
        <v>148</v>
      </c>
      <c r="C48" t="str">
        <f t="shared" si="0"/>
        <v>女</v>
      </c>
      <c r="D48" t="str">
        <f t="shared" si="1"/>
        <v>1998年12月06日</v>
      </c>
      <c r="E48" s="7">
        <f t="shared" ca="1" si="2"/>
        <v>23</v>
      </c>
      <c r="F48" t="s">
        <v>37</v>
      </c>
    </row>
    <row r="49" spans="1:6" x14ac:dyDescent="0.15">
      <c r="A49" t="s">
        <v>94</v>
      </c>
      <c r="B49" s="4" t="s">
        <v>149</v>
      </c>
      <c r="C49" t="str">
        <f t="shared" si="0"/>
        <v>男</v>
      </c>
      <c r="D49" t="str">
        <f t="shared" si="1"/>
        <v>1999年09月04日</v>
      </c>
      <c r="E49" s="7">
        <f t="shared" ca="1" si="2"/>
        <v>22</v>
      </c>
      <c r="F49" t="s">
        <v>47</v>
      </c>
    </row>
    <row r="50" spans="1:6" x14ac:dyDescent="0.15">
      <c r="A50" t="s">
        <v>95</v>
      </c>
      <c r="B50" s="4" t="s">
        <v>150</v>
      </c>
      <c r="C50" t="str">
        <f t="shared" si="0"/>
        <v>女</v>
      </c>
      <c r="D50" t="str">
        <f t="shared" si="1"/>
        <v>1998年11月14日</v>
      </c>
      <c r="E50" s="7">
        <f t="shared" ca="1" si="2"/>
        <v>23</v>
      </c>
      <c r="F50" t="s">
        <v>37</v>
      </c>
    </row>
    <row r="51" spans="1:6" x14ac:dyDescent="0.15">
      <c r="A51" t="s">
        <v>96</v>
      </c>
      <c r="B51" s="4" t="s">
        <v>151</v>
      </c>
      <c r="C51" t="str">
        <f t="shared" si="0"/>
        <v>男</v>
      </c>
      <c r="D51" t="str">
        <f t="shared" si="1"/>
        <v>1999年09月01日</v>
      </c>
      <c r="E51" s="7">
        <f t="shared" ca="1" si="2"/>
        <v>22</v>
      </c>
      <c r="F51" t="s">
        <v>37</v>
      </c>
    </row>
    <row r="52" spans="1:6" x14ac:dyDescent="0.15">
      <c r="A52" t="s">
        <v>97</v>
      </c>
      <c r="B52" s="4" t="s">
        <v>152</v>
      </c>
      <c r="C52" t="str">
        <f t="shared" si="0"/>
        <v>男</v>
      </c>
      <c r="D52" t="str">
        <f t="shared" si="1"/>
        <v>1999年09月06日</v>
      </c>
      <c r="E52" s="7">
        <f t="shared" ca="1" si="2"/>
        <v>22</v>
      </c>
      <c r="F52" t="s">
        <v>35</v>
      </c>
    </row>
    <row r="53" spans="1:6" x14ac:dyDescent="0.15">
      <c r="A53" t="s">
        <v>98</v>
      </c>
      <c r="B53" s="4" t="s">
        <v>153</v>
      </c>
      <c r="C53" t="str">
        <f t="shared" si="0"/>
        <v>女</v>
      </c>
      <c r="D53" t="str">
        <f t="shared" si="1"/>
        <v>1998年11月26日</v>
      </c>
      <c r="E53" s="7">
        <f t="shared" ca="1" si="2"/>
        <v>23</v>
      </c>
      <c r="F53" t="s">
        <v>37</v>
      </c>
    </row>
    <row r="54" spans="1:6" x14ac:dyDescent="0.15">
      <c r="A54" t="s">
        <v>99</v>
      </c>
      <c r="B54" s="4" t="s">
        <v>154</v>
      </c>
      <c r="C54" t="str">
        <f t="shared" si="0"/>
        <v>女</v>
      </c>
      <c r="D54" t="str">
        <f t="shared" si="1"/>
        <v>1999年05月21日</v>
      </c>
      <c r="E54" s="7">
        <f t="shared" ca="1" si="2"/>
        <v>22</v>
      </c>
      <c r="F54" t="s">
        <v>37</v>
      </c>
    </row>
    <row r="55" spans="1:6" x14ac:dyDescent="0.15">
      <c r="A55" t="s">
        <v>100</v>
      </c>
      <c r="B55" s="4" t="s">
        <v>155</v>
      </c>
      <c r="C55" t="str">
        <f t="shared" si="0"/>
        <v>女</v>
      </c>
      <c r="D55" t="str">
        <f t="shared" si="1"/>
        <v>1999年09月16日</v>
      </c>
      <c r="E55" s="7">
        <f t="shared" ca="1" si="2"/>
        <v>22</v>
      </c>
      <c r="F55" t="s">
        <v>87</v>
      </c>
    </row>
    <row r="56" spans="1:6" x14ac:dyDescent="0.15">
      <c r="A56" t="s">
        <v>101</v>
      </c>
      <c r="B56" s="4" t="s">
        <v>156</v>
      </c>
      <c r="C56" t="str">
        <f t="shared" si="0"/>
        <v>女</v>
      </c>
      <c r="D56" t="str">
        <f t="shared" si="1"/>
        <v>1999年09月07日</v>
      </c>
      <c r="E56" s="7">
        <f t="shared" ca="1" si="2"/>
        <v>22</v>
      </c>
      <c r="F56" t="s">
        <v>37</v>
      </c>
    </row>
    <row r="57" spans="1:6" x14ac:dyDescent="0.15">
      <c r="A57" t="s">
        <v>102</v>
      </c>
      <c r="B57" s="4" t="s">
        <v>103</v>
      </c>
      <c r="C57" t="str">
        <f t="shared" si="0"/>
        <v>女</v>
      </c>
      <c r="D57" t="str">
        <f t="shared" si="1"/>
        <v>1999年05月31日</v>
      </c>
      <c r="E57" s="7">
        <f t="shared" ca="1" si="2"/>
        <v>22</v>
      </c>
      <c r="F57" t="s">
        <v>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H9" sqref="H9"/>
    </sheetView>
  </sheetViews>
  <sheetFormatPr defaultRowHeight="20.25" x14ac:dyDescent="0.15"/>
  <cols>
    <col min="1" max="1" width="10" style="1" bestFit="1" customWidth="1"/>
    <col min="2" max="2" width="9" style="1"/>
    <col min="3" max="9" width="9.125" style="1" bestFit="1" customWidth="1"/>
    <col min="10" max="16384" width="9" style="1"/>
  </cols>
  <sheetData>
    <row r="1" spans="1:9" x14ac:dyDescent="0.15">
      <c r="A1" s="2" t="s">
        <v>27</v>
      </c>
      <c r="B1" s="3"/>
      <c r="C1" s="3"/>
      <c r="D1" s="3"/>
      <c r="E1" s="3"/>
      <c r="F1" s="3"/>
      <c r="G1" s="3"/>
      <c r="H1" s="3"/>
      <c r="I1" s="3"/>
    </row>
    <row r="2" spans="1:9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1">
        <v>180305</v>
      </c>
      <c r="B3" s="1" t="s">
        <v>21</v>
      </c>
      <c r="C3" s="1">
        <v>91.5</v>
      </c>
      <c r="D3" s="1">
        <v>89</v>
      </c>
      <c r="E3" s="1">
        <v>94</v>
      </c>
      <c r="F3" s="1">
        <v>92</v>
      </c>
      <c r="G3" s="1">
        <v>91</v>
      </c>
      <c r="H3" s="1">
        <v>86</v>
      </c>
      <c r="I3" s="1">
        <v>86</v>
      </c>
    </row>
    <row r="4" spans="1:9" x14ac:dyDescent="0.15">
      <c r="A4" s="1">
        <v>180203</v>
      </c>
      <c r="B4" s="1" t="s">
        <v>15</v>
      </c>
      <c r="C4" s="1">
        <v>93</v>
      </c>
      <c r="D4" s="1">
        <v>99</v>
      </c>
      <c r="E4" s="1">
        <v>92</v>
      </c>
      <c r="F4" s="1">
        <v>86</v>
      </c>
      <c r="G4" s="1">
        <v>86</v>
      </c>
      <c r="H4" s="1">
        <v>73</v>
      </c>
      <c r="I4" s="1">
        <v>92</v>
      </c>
    </row>
    <row r="5" spans="1:9" x14ac:dyDescent="0.15">
      <c r="A5" s="1">
        <v>180104</v>
      </c>
      <c r="B5" s="1" t="s">
        <v>10</v>
      </c>
      <c r="C5" s="1">
        <v>102</v>
      </c>
      <c r="D5" s="1">
        <v>116</v>
      </c>
      <c r="E5" s="1">
        <v>113</v>
      </c>
      <c r="F5" s="1">
        <v>78</v>
      </c>
      <c r="G5" s="1">
        <v>88</v>
      </c>
      <c r="H5" s="1">
        <v>86</v>
      </c>
      <c r="I5" s="1">
        <v>73</v>
      </c>
    </row>
    <row r="6" spans="1:9" x14ac:dyDescent="0.15">
      <c r="A6" s="1">
        <v>180301</v>
      </c>
      <c r="B6" s="1" t="s">
        <v>22</v>
      </c>
      <c r="C6" s="1">
        <v>99</v>
      </c>
      <c r="D6" s="1">
        <v>98</v>
      </c>
      <c r="E6" s="1">
        <v>101</v>
      </c>
      <c r="F6" s="1">
        <v>95</v>
      </c>
      <c r="G6" s="1">
        <v>91</v>
      </c>
      <c r="H6" s="1">
        <v>95</v>
      </c>
      <c r="I6" s="1">
        <v>78</v>
      </c>
    </row>
    <row r="7" spans="1:9" x14ac:dyDescent="0.15">
      <c r="A7" s="1">
        <v>180306</v>
      </c>
      <c r="B7" s="1" t="s">
        <v>23</v>
      </c>
      <c r="C7" s="1">
        <v>101</v>
      </c>
      <c r="D7" s="1">
        <v>94</v>
      </c>
      <c r="E7" s="1">
        <v>99</v>
      </c>
      <c r="F7" s="1">
        <v>90</v>
      </c>
      <c r="G7" s="1">
        <v>87</v>
      </c>
      <c r="H7" s="1">
        <v>95</v>
      </c>
      <c r="I7" s="1">
        <v>93</v>
      </c>
    </row>
    <row r="8" spans="1:9" x14ac:dyDescent="0.15">
      <c r="A8" s="1">
        <v>180206</v>
      </c>
      <c r="B8" s="1" t="s">
        <v>16</v>
      </c>
      <c r="C8" s="1">
        <v>100.5</v>
      </c>
      <c r="D8" s="1">
        <v>103</v>
      </c>
      <c r="E8" s="1">
        <v>104</v>
      </c>
      <c r="F8" s="1">
        <v>88</v>
      </c>
      <c r="G8" s="1">
        <v>89</v>
      </c>
      <c r="H8" s="1">
        <v>78</v>
      </c>
      <c r="I8" s="1">
        <v>90</v>
      </c>
    </row>
    <row r="9" spans="1:9" x14ac:dyDescent="0.15">
      <c r="A9" s="1">
        <v>180302</v>
      </c>
      <c r="B9" s="1" t="s">
        <v>24</v>
      </c>
      <c r="C9" s="1">
        <v>78</v>
      </c>
      <c r="D9" s="1">
        <v>95</v>
      </c>
      <c r="E9" s="1">
        <v>94</v>
      </c>
      <c r="F9" s="1">
        <v>82</v>
      </c>
      <c r="G9" s="1">
        <v>90</v>
      </c>
      <c r="H9" s="1">
        <v>93</v>
      </c>
      <c r="I9" s="1">
        <v>84</v>
      </c>
    </row>
    <row r="10" spans="1:9" x14ac:dyDescent="0.15">
      <c r="A10" s="1">
        <v>180204</v>
      </c>
      <c r="B10" s="1" t="s">
        <v>17</v>
      </c>
      <c r="C10" s="1">
        <v>95.5</v>
      </c>
      <c r="D10" s="1">
        <v>92</v>
      </c>
      <c r="E10" s="1">
        <v>96</v>
      </c>
      <c r="F10" s="1">
        <v>84</v>
      </c>
      <c r="G10" s="1">
        <v>95</v>
      </c>
      <c r="H10" s="1">
        <v>91</v>
      </c>
      <c r="I10" s="1">
        <v>92</v>
      </c>
    </row>
    <row r="11" spans="1:9" x14ac:dyDescent="0.15">
      <c r="A11" s="1">
        <v>180201</v>
      </c>
      <c r="B11" s="1" t="s">
        <v>18</v>
      </c>
      <c r="C11" s="1">
        <v>93.5</v>
      </c>
      <c r="D11" s="1">
        <v>107</v>
      </c>
      <c r="E11" s="1">
        <v>96</v>
      </c>
      <c r="F11" s="1">
        <v>100</v>
      </c>
      <c r="G11" s="1">
        <v>93</v>
      </c>
      <c r="H11" s="1">
        <v>92</v>
      </c>
      <c r="I11" s="1">
        <v>93</v>
      </c>
    </row>
    <row r="12" spans="1:9" x14ac:dyDescent="0.15">
      <c r="A12" s="1">
        <v>180304</v>
      </c>
      <c r="B12" s="1" t="s">
        <v>25</v>
      </c>
      <c r="C12" s="1">
        <v>95</v>
      </c>
      <c r="D12" s="1">
        <v>97</v>
      </c>
      <c r="E12" s="1">
        <v>102</v>
      </c>
      <c r="F12" s="1">
        <v>93</v>
      </c>
      <c r="G12" s="1">
        <v>95</v>
      </c>
      <c r="H12" s="1">
        <v>92</v>
      </c>
      <c r="I12" s="1">
        <v>88</v>
      </c>
    </row>
    <row r="13" spans="1:9" x14ac:dyDescent="0.15">
      <c r="A13" s="1">
        <v>180103</v>
      </c>
      <c r="B13" s="1" t="s">
        <v>11</v>
      </c>
      <c r="C13" s="1">
        <v>95</v>
      </c>
      <c r="D13" s="1">
        <v>85</v>
      </c>
      <c r="E13" s="1">
        <v>99</v>
      </c>
      <c r="F13" s="1">
        <v>98</v>
      </c>
      <c r="G13" s="1">
        <v>92</v>
      </c>
      <c r="H13" s="1">
        <v>92</v>
      </c>
      <c r="I13" s="1">
        <v>88</v>
      </c>
    </row>
    <row r="14" spans="1:9" x14ac:dyDescent="0.15">
      <c r="A14" s="1">
        <v>180105</v>
      </c>
      <c r="B14" s="1" t="s">
        <v>12</v>
      </c>
      <c r="C14" s="1">
        <v>88</v>
      </c>
      <c r="D14" s="1">
        <v>98</v>
      </c>
      <c r="E14" s="1">
        <v>101</v>
      </c>
      <c r="F14" s="1">
        <v>89</v>
      </c>
      <c r="G14" s="1">
        <v>73</v>
      </c>
      <c r="H14" s="1">
        <v>95</v>
      </c>
      <c r="I14" s="1">
        <v>91</v>
      </c>
    </row>
    <row r="15" spans="1:9" x14ac:dyDescent="0.15">
      <c r="A15" s="1">
        <v>180202</v>
      </c>
      <c r="B15" s="1" t="s">
        <v>19</v>
      </c>
      <c r="C15" s="1">
        <v>86</v>
      </c>
      <c r="D15" s="1">
        <v>107</v>
      </c>
      <c r="E15" s="1">
        <v>89</v>
      </c>
      <c r="F15" s="1">
        <v>88</v>
      </c>
      <c r="G15" s="1">
        <v>92</v>
      </c>
      <c r="H15" s="1">
        <v>88</v>
      </c>
      <c r="I15" s="1">
        <v>89</v>
      </c>
    </row>
    <row r="16" spans="1:9" x14ac:dyDescent="0.15">
      <c r="A16" s="1">
        <v>180205</v>
      </c>
      <c r="B16" s="1" t="s">
        <v>20</v>
      </c>
      <c r="C16" s="1">
        <v>103.5</v>
      </c>
      <c r="D16" s="1">
        <v>105</v>
      </c>
      <c r="E16" s="1">
        <v>105</v>
      </c>
      <c r="F16" s="1">
        <v>93</v>
      </c>
      <c r="G16" s="1">
        <v>93</v>
      </c>
      <c r="H16" s="1">
        <v>90</v>
      </c>
      <c r="I16" s="1">
        <v>86</v>
      </c>
    </row>
    <row r="17" spans="1:9" x14ac:dyDescent="0.15">
      <c r="A17" s="1">
        <v>180102</v>
      </c>
      <c r="B17" s="1" t="s">
        <v>13</v>
      </c>
      <c r="C17" s="1">
        <v>110</v>
      </c>
      <c r="D17" s="1">
        <v>95</v>
      </c>
      <c r="E17" s="1">
        <v>98</v>
      </c>
      <c r="F17" s="1">
        <v>99</v>
      </c>
      <c r="G17" s="1">
        <v>93</v>
      </c>
      <c r="H17" s="1">
        <v>93</v>
      </c>
      <c r="I17" s="1">
        <v>92</v>
      </c>
    </row>
    <row r="18" spans="1:9" x14ac:dyDescent="0.15">
      <c r="A18" s="1">
        <v>180303</v>
      </c>
      <c r="B18" s="1" t="s">
        <v>26</v>
      </c>
      <c r="C18" s="1">
        <v>84</v>
      </c>
      <c r="D18" s="1">
        <v>100</v>
      </c>
      <c r="E18" s="1">
        <v>97</v>
      </c>
      <c r="F18" s="1">
        <v>87</v>
      </c>
      <c r="G18" s="1">
        <v>78</v>
      </c>
      <c r="H18" s="1">
        <v>89</v>
      </c>
      <c r="I18" s="1">
        <v>93</v>
      </c>
    </row>
    <row r="19" spans="1:9" x14ac:dyDescent="0.15">
      <c r="A19" s="1">
        <v>180101</v>
      </c>
      <c r="B19" s="1" t="s">
        <v>9</v>
      </c>
      <c r="C19" s="1">
        <v>97.5</v>
      </c>
      <c r="D19" s="1">
        <v>106</v>
      </c>
      <c r="E19" s="1">
        <v>108</v>
      </c>
      <c r="F19" s="1">
        <v>98</v>
      </c>
      <c r="G19" s="1">
        <v>99</v>
      </c>
      <c r="H19" s="1">
        <v>99</v>
      </c>
      <c r="I19" s="1">
        <v>96</v>
      </c>
    </row>
    <row r="20" spans="1:9" x14ac:dyDescent="0.15">
      <c r="A20" s="1">
        <v>180406</v>
      </c>
      <c r="B20" s="1" t="s">
        <v>14</v>
      </c>
      <c r="C20" s="1">
        <v>90</v>
      </c>
      <c r="D20" s="1">
        <v>111</v>
      </c>
      <c r="E20" s="1">
        <v>116</v>
      </c>
      <c r="F20" s="1">
        <v>72</v>
      </c>
      <c r="G20" s="1">
        <v>95</v>
      </c>
      <c r="H20" s="1">
        <v>93</v>
      </c>
      <c r="I20" s="1">
        <v>95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第二学期期末成绩</vt:lpstr>
      <vt:lpstr>Sheet1!学生档案</vt:lpstr>
    </vt:vector>
  </TitlesOfParts>
  <Company>neea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neea</dc:creator>
  <cp:lastModifiedBy>聂黎生</cp:lastModifiedBy>
  <dcterms:created xsi:type="dcterms:W3CDTF">2013-03-03T01:44:07Z</dcterms:created>
  <dcterms:modified xsi:type="dcterms:W3CDTF">2021-11-30T04:18:03Z</dcterms:modified>
</cp:coreProperties>
</file>