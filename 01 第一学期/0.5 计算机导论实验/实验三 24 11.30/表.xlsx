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nra\Desktop\24秋课程\0.5 计算机导论实验\实验三 2024 11.30\excel部分实验素材\EX6\思考与实践\"/>
    </mc:Choice>
  </mc:AlternateContent>
  <xr:revisionPtr revIDLastSave="0" documentId="13_ncr:1_{115860A2-3AB1-41A4-A502-D7D0305B6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期末成绩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F15" i="1"/>
  <c r="G15" i="1"/>
  <c r="E15" i="1"/>
  <c r="E13" i="1"/>
  <c r="F14" i="1"/>
  <c r="G14" i="1"/>
  <c r="E14" i="1"/>
  <c r="F13" i="1"/>
  <c r="G13" i="1"/>
  <c r="F12" i="1"/>
  <c r="G12" i="1"/>
  <c r="H4" i="1"/>
  <c r="H5" i="1"/>
  <c r="H6" i="1"/>
  <c r="H7" i="1"/>
  <c r="H8" i="1"/>
  <c r="H9" i="1"/>
  <c r="H10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tc={FD5744FA-9684-43C6-9F82-F376AFF4C99D}</author>
  </authors>
  <commentList>
    <comment ref="A1" authorId="0" shapeId="0" xr:uid="{FD5744FA-9684-43C6-9F82-F376AFF4C99D}">
      <text>
        <t>[线程批注]
你的Excel版本可读取此线程批注; 但如果在更新版本的Excel中打开文件，则对批注所作的任何改动都将被删除。了解详细信息: https://go.microsoft.com/fwlink/?linkid=870924
注释:
    1999级</t>
      </text>
    </comment>
  </commentList>
</comments>
</file>

<file path=xl/sharedStrings.xml><?xml version="1.0" encoding="utf-8"?>
<sst xmlns="http://schemas.openxmlformats.org/spreadsheetml/2006/main" count="21" uniqueCount="21">
  <si>
    <t>姓名</t>
  </si>
  <si>
    <t>性别</t>
  </si>
  <si>
    <t>数学</t>
  </si>
  <si>
    <t>物理</t>
  </si>
  <si>
    <t>总分</t>
  </si>
  <si>
    <t>韩晓乐</t>
  </si>
  <si>
    <t>李燕</t>
  </si>
  <si>
    <t>刘海涛</t>
  </si>
  <si>
    <t>赵岩</t>
  </si>
  <si>
    <t>柳旭</t>
  </si>
  <si>
    <t>唐彩云</t>
  </si>
  <si>
    <t>肇海</t>
  </si>
  <si>
    <t>汪笑岩</t>
  </si>
  <si>
    <t>每科平均分</t>
  </si>
  <si>
    <t>每科最低分</t>
    <phoneticPr fontId="2" type="noConversion"/>
  </si>
  <si>
    <t>每科最高分</t>
    <phoneticPr fontId="2" type="noConversion"/>
  </si>
  <si>
    <t>每科低于60分的人数</t>
    <phoneticPr fontId="2" type="noConversion"/>
  </si>
  <si>
    <t>出生日期</t>
    <phoneticPr fontId="2" type="noConversion"/>
  </si>
  <si>
    <t>英语</t>
    <phoneticPr fontId="2" type="noConversion"/>
  </si>
  <si>
    <t>序号</t>
    <phoneticPr fontId="2" type="noConversion"/>
  </si>
  <si>
    <t>期末成绩一览表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</si>
</sst>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&quot;-&quot;mm&quot;-&quot;dd"/>
    <numFmt numFmtId="180" formatCode="0.00_ "/>
  </numFmts>
  <fonts count="6" x14ac:knownFonts="1">
    <font>
      <sz val="12"/>
      <color theme="1"/>
      <name val="宋体"/>
      <family val="2"/>
      <charset val="134"/>
      <scheme val="minor"/>
    </font>
    <font>
      <sz val="12"/>
      <name val="宋体"/>
      <charset val="134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8"/>
      <color rgb="FFFF0000"/>
      <name val="黑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double">
        <color rgb="FFFF0000"/>
      </bottom>
      <diagonal/>
    </border>
  </borders>
  <cellStyleXfs count="3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</cellStyleXfs>
  <cellXfs count="22">
    <xf numFmtId="0" fontId="0" fillId="0" borderId="0" xfId="0">
      <alignment vertical="center"/>
    </xf>
    <xf numFmtId="0" fontId="1" fillId="0" borderId="0" xfId="1"/>
    <xf numFmtId="1" fontId="1" fillId="0" borderId="0" xfId="1" applyNumberFormat="1"/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180" fontId="1" fillId="0" borderId="0" xfId="1" applyNumberFormat="1"/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0" fillId="0" borderId="4" xfId="0" applyBorder="1">
      <alignment vertical="center"/>
    </xf>
    <xf numFmtId="0" fontId="1" fillId="0" borderId="5" xfId="1" applyBorder="1" applyAlignment="1">
      <alignment horizontal="distributed"/>
    </xf>
    <xf numFmtId="0" fontId="1" fillId="0" borderId="5" xfId="1" applyBorder="1"/>
    <xf numFmtId="178" fontId="1" fillId="0" borderId="5" xfId="1" applyNumberFormat="1" applyBorder="1"/>
    <xf numFmtId="0" fontId="1" fillId="0" borderId="6" xfId="1" applyBorder="1"/>
    <xf numFmtId="0" fontId="0" fillId="0" borderId="7" xfId="0" applyBorder="1">
      <alignment vertical="center"/>
    </xf>
    <xf numFmtId="0" fontId="1" fillId="0" borderId="8" xfId="1" applyBorder="1" applyAlignment="1">
      <alignment horizontal="distributed"/>
    </xf>
    <xf numFmtId="0" fontId="1" fillId="0" borderId="8" xfId="1" applyBorder="1"/>
    <xf numFmtId="178" fontId="1" fillId="0" borderId="8" xfId="1" applyNumberFormat="1" applyBorder="1"/>
    <xf numFmtId="0" fontId="1" fillId="0" borderId="9" xfId="1" applyBorder="1"/>
  </cellXfs>
  <cellStyles count="3">
    <cellStyle name="百分比 2" xfId="2" xr:uid="{00000000-0005-0000-0000-000000000000}"/>
    <cellStyle name="常规" xfId="0" builtinId="0"/>
    <cellStyle name="常规 2" xfId="1" xr:uid="{00000000-0005-0000-0000-000002000000}"/>
  </cellStyles>
  <dxfs count="6">
    <dxf>
      <font>
        <color rgb="FF9C0006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rgb="FFFF0000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N XUN" id="{F43091C8-238F-4CDD-AB61-CF9E0955F35B}" userId="c38799906b7e519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1-30T07:38:21.73" personId="{F43091C8-238F-4CDD-AB61-CF9E0955F35B}" id="{FD5744FA-9684-43C6-9F82-F376AFF4C99D}">
    <text>1999级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15"/>
  <sheetViews>
    <sheetView tabSelected="1" zoomScale="190" zoomScaleNormal="190" workbookViewId="0">
      <selection activeCell="K13" sqref="K13"/>
    </sheetView>
  </sheetViews>
  <sheetFormatPr defaultRowHeight="14.25" x14ac:dyDescent="0.15"/>
  <cols>
    <col min="4" max="4" width="11.625" customWidth="1"/>
  </cols>
  <sheetData>
    <row r="1" spans="1:8" ht="23.25" thickBot="1" x14ac:dyDescent="0.2">
      <c r="A1" s="7" t="s">
        <v>20</v>
      </c>
      <c r="B1" s="5"/>
      <c r="C1" s="5"/>
      <c r="D1" s="5"/>
      <c r="E1" s="5"/>
      <c r="F1" s="5"/>
      <c r="G1" s="5"/>
      <c r="H1" s="5"/>
    </row>
    <row r="2" spans="1:8" ht="15" thickTop="1" x14ac:dyDescent="0.15">
      <c r="A2" s="8" t="s">
        <v>19</v>
      </c>
      <c r="B2" s="9" t="s">
        <v>0</v>
      </c>
      <c r="C2" s="9" t="s">
        <v>1</v>
      </c>
      <c r="D2" s="10" t="s">
        <v>17</v>
      </c>
      <c r="E2" s="9" t="s">
        <v>2</v>
      </c>
      <c r="F2" s="10" t="s">
        <v>18</v>
      </c>
      <c r="G2" s="9" t="s">
        <v>3</v>
      </c>
      <c r="H2" s="11" t="s">
        <v>4</v>
      </c>
    </row>
    <row r="3" spans="1:8" x14ac:dyDescent="0.15">
      <c r="A3" s="12">
        <v>1</v>
      </c>
      <c r="B3" s="13" t="s">
        <v>5</v>
      </c>
      <c r="C3" s="14"/>
      <c r="D3" s="15">
        <v>29312</v>
      </c>
      <c r="E3" s="14">
        <v>61</v>
      </c>
      <c r="F3" s="14">
        <v>64</v>
      </c>
      <c r="G3" s="14">
        <v>76</v>
      </c>
      <c r="H3" s="16">
        <f>SUM(E3:G3)</f>
        <v>201</v>
      </c>
    </row>
    <row r="4" spans="1:8" x14ac:dyDescent="0.15">
      <c r="A4" s="12">
        <v>2</v>
      </c>
      <c r="B4" s="13" t="s">
        <v>6</v>
      </c>
      <c r="C4" s="14"/>
      <c r="D4" s="15">
        <v>29587</v>
      </c>
      <c r="E4" s="14">
        <v>90</v>
      </c>
      <c r="F4" s="14">
        <v>93</v>
      </c>
      <c r="G4" s="14">
        <v>68</v>
      </c>
      <c r="H4" s="16">
        <f t="shared" ref="H4:H10" si="0">SUM(E4:G4)</f>
        <v>251</v>
      </c>
    </row>
    <row r="5" spans="1:8" x14ac:dyDescent="0.15">
      <c r="A5" s="12">
        <v>3</v>
      </c>
      <c r="B5" s="13" t="s">
        <v>7</v>
      </c>
      <c r="C5" s="14"/>
      <c r="D5" s="15">
        <v>29556</v>
      </c>
      <c r="E5" s="14">
        <v>45</v>
      </c>
      <c r="F5" s="14">
        <v>50</v>
      </c>
      <c r="G5" s="14">
        <v>53</v>
      </c>
      <c r="H5" s="16">
        <f t="shared" si="0"/>
        <v>148</v>
      </c>
    </row>
    <row r="6" spans="1:8" x14ac:dyDescent="0.15">
      <c r="A6" s="12">
        <v>4</v>
      </c>
      <c r="B6" s="13" t="s">
        <v>8</v>
      </c>
      <c r="C6" s="14"/>
      <c r="D6" s="15">
        <v>29495</v>
      </c>
      <c r="E6" s="14">
        <v>94</v>
      </c>
      <c r="F6" s="14">
        <v>84</v>
      </c>
      <c r="G6" s="14">
        <v>76</v>
      </c>
      <c r="H6" s="16">
        <f t="shared" si="0"/>
        <v>254</v>
      </c>
    </row>
    <row r="7" spans="1:8" x14ac:dyDescent="0.15">
      <c r="A7" s="12">
        <v>5</v>
      </c>
      <c r="B7" s="13" t="s">
        <v>9</v>
      </c>
      <c r="C7" s="14"/>
      <c r="D7" s="15">
        <v>29646</v>
      </c>
      <c r="E7" s="14">
        <v>89</v>
      </c>
      <c r="F7" s="14">
        <v>67</v>
      </c>
      <c r="G7" s="14">
        <v>68</v>
      </c>
      <c r="H7" s="16">
        <f t="shared" si="0"/>
        <v>224</v>
      </c>
    </row>
    <row r="8" spans="1:8" x14ac:dyDescent="0.15">
      <c r="A8" s="12">
        <v>6</v>
      </c>
      <c r="B8" s="13" t="s">
        <v>10</v>
      </c>
      <c r="C8" s="14"/>
      <c r="D8" s="15">
        <v>29768</v>
      </c>
      <c r="E8" s="14">
        <v>55</v>
      </c>
      <c r="F8" s="14">
        <v>85</v>
      </c>
      <c r="G8" s="14">
        <v>57</v>
      </c>
      <c r="H8" s="16">
        <f t="shared" si="0"/>
        <v>197</v>
      </c>
    </row>
    <row r="9" spans="1:8" x14ac:dyDescent="0.15">
      <c r="A9" s="12">
        <v>7</v>
      </c>
      <c r="B9" s="13" t="s">
        <v>11</v>
      </c>
      <c r="C9" s="14"/>
      <c r="D9" s="15">
        <v>29618</v>
      </c>
      <c r="E9" s="14">
        <v>73</v>
      </c>
      <c r="F9" s="14">
        <v>62</v>
      </c>
      <c r="G9" s="14">
        <v>59</v>
      </c>
      <c r="H9" s="16">
        <f t="shared" si="0"/>
        <v>194</v>
      </c>
    </row>
    <row r="10" spans="1:8" ht="15" thickBot="1" x14ac:dyDescent="0.2">
      <c r="A10" s="17">
        <v>8</v>
      </c>
      <c r="B10" s="18" t="s">
        <v>12</v>
      </c>
      <c r="C10" s="19"/>
      <c r="D10" s="20">
        <v>29952</v>
      </c>
      <c r="E10" s="19">
        <v>92</v>
      </c>
      <c r="F10" s="19">
        <v>84</v>
      </c>
      <c r="G10" s="19">
        <v>87</v>
      </c>
      <c r="H10" s="21">
        <f t="shared" si="0"/>
        <v>263</v>
      </c>
    </row>
    <row r="11" spans="1:8" ht="15" thickTop="1" x14ac:dyDescent="0.15"/>
    <row r="12" spans="1:8" x14ac:dyDescent="0.15">
      <c r="B12" s="1"/>
      <c r="C12" s="3" t="s">
        <v>13</v>
      </c>
      <c r="D12" s="3"/>
      <c r="E12" s="6">
        <f>AVERAGE(E3:E10)</f>
        <v>74.875</v>
      </c>
      <c r="F12" s="6">
        <f t="shared" ref="F12:G12" si="1">AVERAGE(F3:F10)</f>
        <v>73.625</v>
      </c>
      <c r="G12" s="6">
        <f t="shared" si="1"/>
        <v>68</v>
      </c>
      <c r="H12" s="2"/>
    </row>
    <row r="13" spans="1:8" x14ac:dyDescent="0.15">
      <c r="B13" s="1"/>
      <c r="C13" s="4" t="s">
        <v>14</v>
      </c>
      <c r="D13" s="3"/>
      <c r="E13" s="1">
        <f t="shared" ref="E13:G13" si="2">MIN(E3:E10)</f>
        <v>45</v>
      </c>
      <c r="F13" s="1">
        <f t="shared" si="2"/>
        <v>50</v>
      </c>
      <c r="G13" s="1">
        <f t="shared" si="2"/>
        <v>53</v>
      </c>
      <c r="H13" s="1"/>
    </row>
    <row r="14" spans="1:8" x14ac:dyDescent="0.15">
      <c r="C14" s="5" t="s">
        <v>15</v>
      </c>
      <c r="D14" s="5"/>
      <c r="E14">
        <f>MAX(E3:E10)</f>
        <v>94</v>
      </c>
      <c r="F14">
        <f t="shared" ref="F14:G14" si="3">MAX(F3:F10)</f>
        <v>93</v>
      </c>
      <c r="G14">
        <f t="shared" si="3"/>
        <v>87</v>
      </c>
    </row>
    <row r="15" spans="1:8" x14ac:dyDescent="0.15">
      <c r="C15" s="5" t="s">
        <v>16</v>
      </c>
      <c r="D15" s="5"/>
      <c r="E15">
        <f>COUNTIF(E3:E10,"&lt;60")</f>
        <v>2</v>
      </c>
      <c r="F15">
        <f t="shared" ref="F15:G15" si="4">COUNTIF(F3:F10,"&lt;60")</f>
        <v>1</v>
      </c>
      <c r="G15">
        <f t="shared" si="4"/>
        <v>3</v>
      </c>
    </row>
  </sheetData>
  <mergeCells count="5">
    <mergeCell ref="C12:D12"/>
    <mergeCell ref="C13:D13"/>
    <mergeCell ref="C14:D14"/>
    <mergeCell ref="C15:D15"/>
    <mergeCell ref="A1:H1"/>
  </mergeCells>
  <phoneticPr fontId="2" type="noConversion"/>
  <conditionalFormatting sqref="E3:F10">
    <cfRule type="cellIs" dxfId="0" priority="3" operator="greaterThan">
      <formula>90</formula>
    </cfRule>
    <cfRule type="cellIs" dxfId="1" priority="1" operator="greaterThan">
      <formula>90</formula>
    </cfRule>
  </conditionalFormatting>
  <conditionalFormatting sqref="G3:G10">
    <cfRule type="cellIs" dxfId="4" priority="2" operator="lessThan">
      <formula>60</formula>
    </cfRule>
  </conditionalFormatting>
  <dataValidations count="1">
    <dataValidation type="list" allowBlank="1" showInputMessage="1" showErrorMessage="1" error="仅可输入男或女！" sqref="C3:C10" xr:uid="{4C00882C-1A10-4228-B85D-0661CC2ADBCD}">
      <formula1>"男，女"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期末成绩表</vt:lpstr>
      <vt:lpstr>Sheet2</vt:lpstr>
      <vt:lpstr>Sheet3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RAN XUN</cp:lastModifiedBy>
  <dcterms:created xsi:type="dcterms:W3CDTF">2012-12-05T07:32:45Z</dcterms:created>
  <dcterms:modified xsi:type="dcterms:W3CDTF">2024-11-30T07:42:22Z</dcterms:modified>
</cp:coreProperties>
</file>